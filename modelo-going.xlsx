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1\going-monorepo-clean\"/>
    </mc:Choice>
  </mc:AlternateContent>
  <xr:revisionPtr revIDLastSave="0" documentId="13_ncr:1_{1B488F7E-0859-4032-8FB8-E1E6975E929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odel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" i="1" l="1"/>
  <c r="C36" i="1"/>
  <c r="C35" i="1"/>
  <c r="C34" i="1"/>
  <c r="C33" i="1"/>
  <c r="C32" i="1"/>
  <c r="C38" i="1" s="1"/>
  <c r="C55" i="1" s="1"/>
  <c r="C41" i="1" l="1"/>
  <c r="C44" i="1" l="1"/>
  <c r="C57" i="1" s="1"/>
  <c r="C42" i="1"/>
  <c r="C45" i="1" l="1"/>
  <c r="C54" i="1" s="1"/>
  <c r="C43" i="1"/>
  <c r="C56" i="1" l="1"/>
  <c r="C48" i="1"/>
  <c r="C49" i="1" s="1"/>
  <c r="C51" i="1" s="1"/>
</calcChain>
</file>

<file path=xl/sharedStrings.xml><?xml version="1.0" encoding="utf-8"?>
<sst xmlns="http://schemas.openxmlformats.org/spreadsheetml/2006/main" count="65" uniqueCount="65">
  <si>
    <t>MODELO ECONÓMICO GOING — Ride-sharing intercity</t>
  </si>
  <si>
    <t>Azul = inputs (cámbialos). Negro sobre gris = fórmulas. Verde = KPIs.</t>
  </si>
  <si>
    <t>A. FLOTA</t>
  </si>
  <si>
    <t>Número de SUVs</t>
  </si>
  <si>
    <t>Vehículos activos</t>
  </si>
  <si>
    <t>Días operativos por mes</t>
  </si>
  <si>
    <t>Típicamente 26-30</t>
  </si>
  <si>
    <t>B. OPERACIÓN POR SUV / DÍA</t>
  </si>
  <si>
    <t>Turnos de 3h por SUV/día</t>
  </si>
  <si>
    <t>Ej: Quito→SD ida+vuelta = 2</t>
  </si>
  <si>
    <t>Pax por turno (3h)</t>
  </si>
  <si>
    <t>Meta 3 (SUV llena confort)</t>
  </si>
  <si>
    <t>Paquetes por turno (3h)</t>
  </si>
  <si>
    <t>Paquetes enviados/trayecto</t>
  </si>
  <si>
    <t>Carreras cortas (1h)/día</t>
  </si>
  <si>
    <t>Pickups oportunistas</t>
  </si>
  <si>
    <t>Pax por carrera corta</t>
  </si>
  <si>
    <t>Pax promedio en corta</t>
  </si>
  <si>
    <t>Paquetes por carrera corta</t>
  </si>
  <si>
    <t>C. PRODUCTOS PREMIUM (por SUV/semana)</t>
  </si>
  <si>
    <t>Viajes privados por semana</t>
  </si>
  <si>
    <t>Asignados por mérito</t>
  </si>
  <si>
    <t>Carreras empresa por semana</t>
  </si>
  <si>
    <t>Contratos B2B</t>
  </si>
  <si>
    <t>D. PRECIOS UNITARIOS (USD)</t>
  </si>
  <si>
    <t>Precio asiento compartido (turno 3h)</t>
  </si>
  <si>
    <t>Por pax, ruta intercity</t>
  </si>
  <si>
    <t>Precio paquete</t>
  </si>
  <si>
    <t>Por unidad enviada</t>
  </si>
  <si>
    <t>Precio asiento carrera corta</t>
  </si>
  <si>
    <t>Por pax, corta urbana</t>
  </si>
  <si>
    <t>Precio viaje privado</t>
  </si>
  <si>
    <t>Precio total del vehículo</t>
  </si>
  <si>
    <t>Precio carrera empresa</t>
  </si>
  <si>
    <t>Privado B2B (+28%)</t>
  </si>
  <si>
    <t>E. PARÁMETROS ECONÓMICOS</t>
  </si>
  <si>
    <t>Retención Going (incluye IVA)</t>
  </si>
  <si>
    <t>% del bruto que retiene la plataforma</t>
  </si>
  <si>
    <t>Gasto en promoción (% sobre bruto)</t>
  </si>
  <si>
    <t>Redes sociales + CAC</t>
  </si>
  <si>
    <t>F. INGRESO BRUTO POR SUV / MES</t>
  </si>
  <si>
    <t>Ingreso turnos compartidos (pax)</t>
  </si>
  <si>
    <t>Ingreso paquetes en turnos</t>
  </si>
  <si>
    <t>Ingreso carreras cortas (pax)</t>
  </si>
  <si>
    <t>Ingreso paquetes en cortas</t>
  </si>
  <si>
    <t>Ingreso viajes privados</t>
  </si>
  <si>
    <t>Ingreso carreras empresa</t>
  </si>
  <si>
    <t>TOTAL BRUTO / SUV / MES</t>
  </si>
  <si>
    <t>G. TOTALES FLOTA / MES</t>
  </si>
  <si>
    <t>Valor bruto de ingreso (toda la flota)</t>
  </si>
  <si>
    <t>Retención Going (bruto × %)</t>
  </si>
  <si>
    <t>Pago a conductores (bruto − retención)</t>
  </si>
  <si>
    <t>Gasto en promoción</t>
  </si>
  <si>
    <t>BENEFICIO BRUTO (retención − promoción)</t>
  </si>
  <si>
    <t>H. KPIs POR CONDUCTOR</t>
  </si>
  <si>
    <t>Pago por conductor / mes</t>
  </si>
  <si>
    <t>Pago por conductor / día</t>
  </si>
  <si>
    <t>Meta diaria conductor</t>
  </si>
  <si>
    <t>Gap vs meta (conductor/día)</t>
  </si>
  <si>
    <t>I. KPIs DE PLATAFORMA</t>
  </si>
  <si>
    <t>Margen bruto (% sobre ingresos)</t>
  </si>
  <si>
    <t>Ingreso bruto por SUV/día</t>
  </si>
  <si>
    <t>Pago por SUV/día</t>
  </si>
  <si>
    <t>CAC equivalente cubierto ($0.50/usuario)</t>
  </si>
  <si>
    <t>ruta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</si>
</sst>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#,##0.0;\(#,##0.0\);\-"/>
    <numFmt numFmtId="166" formatCode="\$#,##0;&quot;($&quot;#,##0\);\-"/>
    <numFmt numFmtId="167" formatCode="0.0%;\(0.0%\);\-"/>
  </numFmts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595959"/>
      <name val="Arial"/>
      <charset val="1"/>
    </font>
    <font>
      <b/>
      <sz val="12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C6E0B4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65" fontId="5" fillId="3" borderId="1" xfId="0" applyNumberFormat="1" applyFont="1" applyFill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167" fontId="5" fillId="3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166" fontId="6" fillId="5" borderId="1" xfId="0" applyNumberFormat="1" applyFont="1" applyFill="1" applyBorder="1" applyAlignment="1">
      <alignment horizontal="right" vertical="center"/>
    </xf>
    <xf numFmtId="167" fontId="6" fillId="5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7"/>
  <sheetViews>
    <sheetView tabSelected="1" zoomScaleNormal="100" workbookViewId="0">
      <pane ySplit="3" topLeftCell="A4" activePane="bottomLeft" state="frozen"/>
      <selection pane="bottomLeft" activeCell="F5" sqref="F5"/>
    </sheetView>
  </sheetViews>
  <sheetFormatPr baseColWidth="10" defaultColWidth="8.7109375" defaultRowHeight="15" x14ac:dyDescent="0.25"/>
  <cols>
    <col min="1" max="1" width="2" customWidth="1"/>
    <col min="2" max="2" width="48" customWidth="1"/>
    <col min="3" max="3" width="16" customWidth="1"/>
    <col min="4" max="4" width="3" customWidth="1"/>
    <col min="5" max="5" width="40" customWidth="1"/>
  </cols>
  <sheetData>
    <row r="1" spans="2:13" ht="27.75" customHeight="1" x14ac:dyDescent="0.25">
      <c r="B1" s="2" t="s">
        <v>0</v>
      </c>
      <c r="C1" s="2"/>
      <c r="D1" s="2"/>
      <c r="E1" s="2"/>
    </row>
    <row r="2" spans="2:13" x14ac:dyDescent="0.25">
      <c r="B2" s="3" t="s">
        <v>1</v>
      </c>
    </row>
    <row r="3" spans="2:13" x14ac:dyDescent="0.25">
      <c r="F3" t="s">
        <v>64</v>
      </c>
      <c r="G3">
        <v>2</v>
      </c>
      <c r="H3">
        <v>3</v>
      </c>
      <c r="I3">
        <v>4</v>
      </c>
      <c r="J3">
        <v>5</v>
      </c>
      <c r="K3">
        <v>6</v>
      </c>
      <c r="L3">
        <v>7</v>
      </c>
      <c r="M3">
        <v>8</v>
      </c>
    </row>
    <row r="4" spans="2:13" ht="21.75" customHeight="1" x14ac:dyDescent="0.25">
      <c r="B4" s="1" t="s">
        <v>2</v>
      </c>
      <c r="C4" s="1"/>
    </row>
    <row r="5" spans="2:13" x14ac:dyDescent="0.25">
      <c r="B5" s="4" t="s">
        <v>3</v>
      </c>
      <c r="C5" s="5">
        <v>20</v>
      </c>
      <c r="E5" s="6" t="s">
        <v>4</v>
      </c>
    </row>
    <row r="6" spans="2:13" x14ac:dyDescent="0.25">
      <c r="B6" s="4" t="s">
        <v>5</v>
      </c>
      <c r="C6" s="5">
        <v>25</v>
      </c>
      <c r="E6" s="6" t="s">
        <v>6</v>
      </c>
    </row>
    <row r="8" spans="2:13" ht="21.75" customHeight="1" x14ac:dyDescent="0.25">
      <c r="B8" s="1" t="s">
        <v>7</v>
      </c>
      <c r="C8" s="1"/>
    </row>
    <row r="9" spans="2:13" x14ac:dyDescent="0.25">
      <c r="B9" s="4" t="s">
        <v>8</v>
      </c>
      <c r="C9" s="7">
        <v>2</v>
      </c>
      <c r="E9" s="6" t="s">
        <v>9</v>
      </c>
    </row>
    <row r="10" spans="2:13" x14ac:dyDescent="0.25">
      <c r="B10" s="4" t="s">
        <v>10</v>
      </c>
      <c r="C10" s="7">
        <v>2</v>
      </c>
      <c r="E10" s="6" t="s">
        <v>11</v>
      </c>
    </row>
    <row r="11" spans="2:13" x14ac:dyDescent="0.25">
      <c r="B11" s="4" t="s">
        <v>12</v>
      </c>
      <c r="C11" s="7">
        <v>1</v>
      </c>
      <c r="E11" s="6" t="s">
        <v>13</v>
      </c>
    </row>
    <row r="12" spans="2:13" x14ac:dyDescent="0.25">
      <c r="B12" s="4" t="s">
        <v>14</v>
      </c>
      <c r="C12" s="7">
        <v>1</v>
      </c>
      <c r="E12" s="6" t="s">
        <v>15</v>
      </c>
    </row>
    <row r="13" spans="2:13" x14ac:dyDescent="0.25">
      <c r="B13" s="4" t="s">
        <v>16</v>
      </c>
      <c r="C13" s="7">
        <v>2</v>
      </c>
      <c r="E13" s="6" t="s">
        <v>17</v>
      </c>
    </row>
    <row r="14" spans="2:13" x14ac:dyDescent="0.25">
      <c r="B14" s="4" t="s">
        <v>18</v>
      </c>
      <c r="C14" s="7">
        <v>0</v>
      </c>
    </row>
    <row r="16" spans="2:13" ht="21.75" customHeight="1" x14ac:dyDescent="0.25">
      <c r="B16" s="1" t="s">
        <v>19</v>
      </c>
      <c r="C16" s="1"/>
    </row>
    <row r="17" spans="2:5" x14ac:dyDescent="0.25">
      <c r="B17" s="4" t="s">
        <v>20</v>
      </c>
      <c r="C17" s="7">
        <v>0.5</v>
      </c>
      <c r="E17" s="6" t="s">
        <v>21</v>
      </c>
    </row>
    <row r="18" spans="2:5" x14ac:dyDescent="0.25">
      <c r="B18" s="4" t="s">
        <v>22</v>
      </c>
      <c r="C18" s="7">
        <v>0.3</v>
      </c>
      <c r="E18" s="6" t="s">
        <v>23</v>
      </c>
    </row>
    <row r="20" spans="2:5" ht="21.75" customHeight="1" x14ac:dyDescent="0.25">
      <c r="B20" s="1" t="s">
        <v>24</v>
      </c>
      <c r="C20" s="1"/>
    </row>
    <row r="21" spans="2:5" x14ac:dyDescent="0.25">
      <c r="B21" s="4" t="s">
        <v>25</v>
      </c>
      <c r="C21" s="8">
        <v>12</v>
      </c>
      <c r="E21" s="6" t="s">
        <v>26</v>
      </c>
    </row>
    <row r="22" spans="2:5" x14ac:dyDescent="0.25">
      <c r="B22" s="4" t="s">
        <v>27</v>
      </c>
      <c r="C22" s="8">
        <v>10</v>
      </c>
      <c r="E22" s="6" t="s">
        <v>28</v>
      </c>
    </row>
    <row r="23" spans="2:5" x14ac:dyDescent="0.25">
      <c r="B23" s="4" t="s">
        <v>29</v>
      </c>
      <c r="C23" s="8">
        <v>5</v>
      </c>
      <c r="E23" s="6" t="s">
        <v>30</v>
      </c>
    </row>
    <row r="24" spans="2:5" x14ac:dyDescent="0.25">
      <c r="B24" s="4" t="s">
        <v>31</v>
      </c>
      <c r="C24" s="8">
        <v>70</v>
      </c>
      <c r="E24" s="6" t="s">
        <v>32</v>
      </c>
    </row>
    <row r="25" spans="2:5" x14ac:dyDescent="0.25">
      <c r="B25" s="4" t="s">
        <v>33</v>
      </c>
      <c r="C25" s="8">
        <v>90</v>
      </c>
      <c r="E25" s="6" t="s">
        <v>34</v>
      </c>
    </row>
    <row r="27" spans="2:5" ht="21.75" customHeight="1" x14ac:dyDescent="0.25">
      <c r="B27" s="1" t="s">
        <v>35</v>
      </c>
      <c r="C27" s="1"/>
    </row>
    <row r="28" spans="2:5" x14ac:dyDescent="0.25">
      <c r="B28" s="4" t="s">
        <v>36</v>
      </c>
      <c r="C28" s="9">
        <v>0.2</v>
      </c>
      <c r="E28" s="6" t="s">
        <v>37</v>
      </c>
    </row>
    <row r="29" spans="2:5" x14ac:dyDescent="0.25">
      <c r="B29" s="4" t="s">
        <v>38</v>
      </c>
      <c r="C29" s="9">
        <v>0.03</v>
      </c>
      <c r="E29" s="6" t="s">
        <v>39</v>
      </c>
    </row>
    <row r="31" spans="2:5" ht="21.75" customHeight="1" x14ac:dyDescent="0.25">
      <c r="B31" s="1" t="s">
        <v>40</v>
      </c>
      <c r="C31" s="1"/>
    </row>
    <row r="32" spans="2:5" x14ac:dyDescent="0.25">
      <c r="B32" s="4" t="s">
        <v>41</v>
      </c>
      <c r="C32" s="10">
        <f>C9*C6*C10*C21</f>
        <v>1200</v>
      </c>
    </row>
    <row r="33" spans="2:3" x14ac:dyDescent="0.25">
      <c r="B33" s="4" t="s">
        <v>42</v>
      </c>
      <c r="C33" s="10">
        <f>C9*C6*C11*C22</f>
        <v>500</v>
      </c>
    </row>
    <row r="34" spans="2:3" x14ac:dyDescent="0.25">
      <c r="B34" s="4" t="s">
        <v>43</v>
      </c>
      <c r="C34" s="10">
        <f>C12*C6*C13*C23</f>
        <v>250</v>
      </c>
    </row>
    <row r="35" spans="2:3" x14ac:dyDescent="0.25">
      <c r="B35" s="4" t="s">
        <v>44</v>
      </c>
      <c r="C35" s="10">
        <f>C12*C6*C14*C22</f>
        <v>0</v>
      </c>
    </row>
    <row r="36" spans="2:3" x14ac:dyDescent="0.25">
      <c r="B36" s="4" t="s">
        <v>45</v>
      </c>
      <c r="C36" s="10">
        <f>C17*(C6/7)*C24</f>
        <v>125</v>
      </c>
    </row>
    <row r="37" spans="2:3" x14ac:dyDescent="0.25">
      <c r="B37" s="4" t="s">
        <v>46</v>
      </c>
      <c r="C37" s="10">
        <f>C18*(C6/7)*C25</f>
        <v>96.428571428571431</v>
      </c>
    </row>
    <row r="38" spans="2:3" x14ac:dyDescent="0.25">
      <c r="B38" s="11" t="s">
        <v>47</v>
      </c>
      <c r="C38" s="12">
        <f>SUM(C32:C37)</f>
        <v>2171.4285714285716</v>
      </c>
    </row>
    <row r="40" spans="2:3" ht="21.75" customHeight="1" x14ac:dyDescent="0.25">
      <c r="B40" s="1" t="s">
        <v>48</v>
      </c>
      <c r="C40" s="1"/>
    </row>
    <row r="41" spans="2:3" x14ac:dyDescent="0.25">
      <c r="B41" s="11" t="s">
        <v>49</v>
      </c>
      <c r="C41" s="12">
        <f>C5*C38</f>
        <v>43428.571428571435</v>
      </c>
    </row>
    <row r="42" spans="2:3" x14ac:dyDescent="0.25">
      <c r="B42" s="4" t="s">
        <v>50</v>
      </c>
      <c r="C42" s="10">
        <f>C41*C28</f>
        <v>8685.7142857142881</v>
      </c>
    </row>
    <row r="43" spans="2:3" x14ac:dyDescent="0.25">
      <c r="B43" s="4" t="s">
        <v>51</v>
      </c>
      <c r="C43" s="10">
        <f>C41-C42</f>
        <v>34742.857142857145</v>
      </c>
    </row>
    <row r="44" spans="2:3" x14ac:dyDescent="0.25">
      <c r="B44" s="4" t="s">
        <v>52</v>
      </c>
      <c r="C44" s="10">
        <f>C41*C29</f>
        <v>1302.8571428571429</v>
      </c>
    </row>
    <row r="45" spans="2:3" x14ac:dyDescent="0.25">
      <c r="B45" s="11" t="s">
        <v>53</v>
      </c>
      <c r="C45" s="12">
        <f>C42-C44</f>
        <v>7382.8571428571449</v>
      </c>
    </row>
    <row r="47" spans="2:3" ht="21.75" customHeight="1" x14ac:dyDescent="0.25">
      <c r="B47" s="1" t="s">
        <v>54</v>
      </c>
      <c r="C47" s="1"/>
    </row>
    <row r="48" spans="2:3" x14ac:dyDescent="0.25">
      <c r="B48" s="4" t="s">
        <v>55</v>
      </c>
      <c r="C48" s="10">
        <f>IF(C5&gt;0,C43/C5,0)</f>
        <v>1737.1428571428573</v>
      </c>
    </row>
    <row r="49" spans="2:3" x14ac:dyDescent="0.25">
      <c r="B49" s="11" t="s">
        <v>56</v>
      </c>
      <c r="C49" s="12">
        <f>IF(C6&gt;0,C48/C6,0)</f>
        <v>69.485714285714295</v>
      </c>
    </row>
    <row r="50" spans="2:3" x14ac:dyDescent="0.25">
      <c r="B50" s="4" t="s">
        <v>57</v>
      </c>
      <c r="C50" s="8">
        <v>70</v>
      </c>
    </row>
    <row r="51" spans="2:3" x14ac:dyDescent="0.25">
      <c r="B51" s="11" t="s">
        <v>58</v>
      </c>
      <c r="C51" s="12">
        <f>C49-C50</f>
        <v>-0.51428571428570535</v>
      </c>
    </row>
    <row r="53" spans="2:3" ht="21.75" customHeight="1" x14ac:dyDescent="0.25">
      <c r="B53" s="1" t="s">
        <v>59</v>
      </c>
      <c r="C53" s="1"/>
    </row>
    <row r="54" spans="2:3" x14ac:dyDescent="0.25">
      <c r="B54" s="11" t="s">
        <v>60</v>
      </c>
      <c r="C54" s="13">
        <f>IF(C41&gt;0,C45/C41,0)</f>
        <v>0.17</v>
      </c>
    </row>
    <row r="55" spans="2:3" x14ac:dyDescent="0.25">
      <c r="B55" s="4" t="s">
        <v>61</v>
      </c>
      <c r="C55" s="10">
        <f>IF(C6&gt;0,C38/C6,0)</f>
        <v>86.857142857142861</v>
      </c>
    </row>
    <row r="56" spans="2:3" x14ac:dyDescent="0.25">
      <c r="B56" s="4" t="s">
        <v>62</v>
      </c>
      <c r="C56" s="10">
        <f>IF(C6&gt;0,IF(C5&gt;0,C43/C5/C6,0),0)</f>
        <v>69.485714285714295</v>
      </c>
    </row>
    <row r="57" spans="2:3" x14ac:dyDescent="0.25">
      <c r="B57" s="4" t="s">
        <v>63</v>
      </c>
      <c r="C57" s="14">
        <f>C44/0.5</f>
        <v>2605.7142857142858</v>
      </c>
    </row>
  </sheetData>
  <mergeCells count="10">
    <mergeCell ref="B27:C27"/>
    <mergeCell ref="B31:C31"/>
    <mergeCell ref="B40:C40"/>
    <mergeCell ref="B47:C47"/>
    <mergeCell ref="B53:C53"/>
    <mergeCell ref="B1:E1"/>
    <mergeCell ref="B4:C4"/>
    <mergeCell ref="B8:C8"/>
    <mergeCell ref="B16:C16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RUBEN TORRES</cp:lastModifiedBy>
  <cp:revision>0</cp:revision>
  <dcterms:created xsi:type="dcterms:W3CDTF">2026-04-19T23:04:11Z</dcterms:created>
  <dcterms:modified xsi:type="dcterms:W3CDTF">2026-04-19T23:20:59Z</dcterms:modified>
  <dc:language>en-US</dc:language>
</cp:coreProperties>
</file>